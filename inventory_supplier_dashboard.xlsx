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DELL\OneDrive\Desktop\India Job\Projects\"/>
    </mc:Choice>
  </mc:AlternateContent>
  <xr:revisionPtr revIDLastSave="0" documentId="13_ncr:1_{EFD3F674-95EA-4B98-9A2A-9DD664148956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Raw Data" sheetId="1" r:id="rId1"/>
    <sheet name="Analysis" sheetId="2" r:id="rId2"/>
    <sheet name="Dashboard" sheetId="3" r:id="rId3"/>
  </sheets>
  <definedNames>
    <definedName name="Slicer_Category">#N/A</definedName>
    <definedName name="Slicer_Region">#N/A</definedName>
    <definedName name="Slicer_Supplier">#N/A</definedName>
  </definedNames>
  <calcPr calcId="191029"/>
</workbook>
</file>

<file path=xl/calcChain.xml><?xml version="1.0" encoding="utf-8"?>
<calcChain xmlns="http://schemas.openxmlformats.org/spreadsheetml/2006/main">
  <c r="K12" i="2" l="1"/>
  <c r="J4" i="3" l="1"/>
  <c r="F4" i="3"/>
  <c r="O15" i="2"/>
  <c r="O14" i="2"/>
  <c r="O13" i="2"/>
  <c r="O12" i="2"/>
  <c r="K9" i="2"/>
  <c r="K8" i="2"/>
  <c r="K7" i="2"/>
  <c r="N4" i="2"/>
  <c r="N3" i="2"/>
  <c r="N2" i="2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L14" i="2" s="1"/>
  <c r="K4" i="1"/>
  <c r="K4" i="2" s="1"/>
  <c r="M3" i="1"/>
  <c r="L3" i="1"/>
  <c r="L13" i="2" s="1"/>
  <c r="K3" i="1"/>
  <c r="K3" i="2" s="1"/>
  <c r="M2" i="1"/>
  <c r="L2" i="1"/>
  <c r="N4" i="3" s="1"/>
  <c r="K2" i="1"/>
  <c r="K2" i="2" s="1"/>
  <c r="N8" i="2" l="1"/>
  <c r="K14" i="2"/>
  <c r="L12" i="2"/>
  <c r="B4" i="3"/>
  <c r="K13" i="2"/>
  <c r="N7" i="2"/>
</calcChain>
</file>

<file path=xl/sharedStrings.xml><?xml version="1.0" encoding="utf-8"?>
<sst xmlns="http://schemas.openxmlformats.org/spreadsheetml/2006/main" count="138" uniqueCount="60">
  <si>
    <t>Date</t>
  </si>
  <si>
    <t>Product</t>
  </si>
  <si>
    <t>Supplier</t>
  </si>
  <si>
    <t>Category</t>
  </si>
  <si>
    <t>Units Ordered</t>
  </si>
  <si>
    <t>Units Received</t>
  </si>
  <si>
    <t>Unit Cost</t>
  </si>
  <si>
    <t>Delivery Days</t>
  </si>
  <si>
    <t>Defect %</t>
  </si>
  <si>
    <t>Region</t>
  </si>
  <si>
    <t xml:space="preserve">Total Cost </t>
  </si>
  <si>
    <t>Delay Flag</t>
  </si>
  <si>
    <t>Quality Status</t>
  </si>
  <si>
    <t>01-01-2026</t>
  </si>
  <si>
    <t>Packaging A</t>
  </si>
  <si>
    <t>Supplier X</t>
  </si>
  <si>
    <t>Packaging</t>
  </si>
  <si>
    <t>North</t>
  </si>
  <si>
    <t>02-01-2026</t>
  </si>
  <si>
    <t>Raw Makhana</t>
  </si>
  <si>
    <t>Supplier Y</t>
  </si>
  <si>
    <t>Raw Material</t>
  </si>
  <si>
    <t>East</t>
  </si>
  <si>
    <t>03-01-2026</t>
  </si>
  <si>
    <t>Packaging B</t>
  </si>
  <si>
    <t>Supplier Z</t>
  </si>
  <si>
    <t>West</t>
  </si>
  <si>
    <t>04-01-2026</t>
  </si>
  <si>
    <t>Spices Mix</t>
  </si>
  <si>
    <t>05-01-2026</t>
  </si>
  <si>
    <t>South</t>
  </si>
  <si>
    <t>06-01-2026</t>
  </si>
  <si>
    <t>07-01-2026</t>
  </si>
  <si>
    <t>08-01-2026</t>
  </si>
  <si>
    <t>09-01-2026</t>
  </si>
  <si>
    <t>10-01-2026</t>
  </si>
  <si>
    <t>Supplier Performance</t>
  </si>
  <si>
    <t>Category Spend</t>
  </si>
  <si>
    <t>Delay Analysis</t>
  </si>
  <si>
    <t>Product Demand</t>
  </si>
  <si>
    <t>Total Spend</t>
  </si>
  <si>
    <t>Avg Delivery Days</t>
  </si>
  <si>
    <t>Row Labels</t>
  </si>
  <si>
    <t>Average Delivery Days</t>
  </si>
  <si>
    <t>Average Defect %</t>
  </si>
  <si>
    <t>Avg Defect %</t>
  </si>
  <si>
    <t>Grand Total</t>
  </si>
  <si>
    <t>Delayed Orders</t>
  </si>
  <si>
    <t>On-Time Orders</t>
  </si>
  <si>
    <t>Delayed</t>
  </si>
  <si>
    <t>On Time</t>
  </si>
  <si>
    <t>Units_Received</t>
  </si>
  <si>
    <t>Inventory &amp; Supplier Performance Dashboard</t>
  </si>
  <si>
    <t>Procurement analytics view: cost, delivery, quality and demand</t>
  </si>
  <si>
    <t>Total Units Received</t>
  </si>
  <si>
    <t>Key Insights</t>
  </si>
  <si>
    <t>• Supplier Z has the highest defect rate, indicating a quality risk.
• Raw Material contributes slightly more spend than Packaging.
• Supplier X shows the highest overall spend and steady delivery performance.
• Supplier Z records the most delayed orders, making it the highest service-risk supplier.</t>
  </si>
  <si>
    <t>Project Scope</t>
  </si>
  <si>
    <t>This dashboard analyses procurement performance using four business views:
• Supplier cost comparison
• Category-level spend distribution
• Delivery reliability (on-time vs delayed)
• Product-level demand through units received</t>
  </si>
  <si>
    <t>Built in Excel using Pivot Tables, formulas, charts, and KPI cards to support supplier evaluation, cost optimisation, and inventory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</si>
</sst>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₹#,##0.0"/>
    <numFmt numFmtId="166" formatCode="#,##0.0"/>
  </numFmts>
  <fonts count="11" x14ac:knownFonts="1">
    <font>
      <sz val="11"/>
      <color theme="1"/>
      <name val="Calibri"/>
    </font>
    <font>
      <b/>
      <sz val="11"/>
      <color theme="1"/>
      <name val="Calibri"/>
    </font>
    <font>
      <sz val="16"/>
      <color theme="1"/>
      <name val="Calibri"/>
    </font>
    <font>
      <b/>
      <sz val="16"/>
      <color rgb="FFFFFFFF"/>
      <name val="Calibri"/>
    </font>
    <font>
      <i/>
      <sz val="10"/>
      <color rgb="FF1F1F1F"/>
      <name val="Calibri"/>
    </font>
    <font>
      <b/>
      <sz val="18"/>
      <color rgb="FF1F1F1F"/>
      <name val="Calibri"/>
    </font>
    <font>
      <b/>
      <sz val="10"/>
      <color rgb="FF44546A"/>
      <name val="Calibri"/>
    </font>
    <font>
      <b/>
      <sz val="12"/>
      <color rgb="FFFFFFFF"/>
      <name val="Calibri"/>
    </font>
    <font>
      <sz val="10"/>
      <color rgb="FF1F1F1F"/>
      <name val="Calibri"/>
    </font>
    <font>
      <sz val="10"/>
      <color theme="1"/>
      <name val="Calibri"/>
    </font>
    <font>
      <i/>
      <sz val="10"/>
      <color rgb="FF7F6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6" tint="-0.4999542222357860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8FBFF"/>
      </patternFill>
    </fill>
    <fill>
      <patternFill patternType="solid">
        <fgColor rgb="FF70AD47"/>
      </patternFill>
    </fill>
    <fill>
      <patternFill patternType="solid">
        <fgColor rgb="FFF3F9E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NumberFormat="1" applyAlignment="1">
      <alignment horizontal="center"/>
    </xf>
    <xf numFmtId="0" fontId="1" fillId="2" borderId="0" xfId="0" applyFont="1" applyFill="1"/>
    <xf numFmtId="164" fontId="0" fillId="0" borderId="0" xfId="0" applyNumberFormat="1" applyAlignment="1">
      <alignment horizontal="center"/>
    </xf>
    <xf numFmtId="0" fontId="0" fillId="0" borderId="11" xfId="0" applyNumberFormat="1" applyFont="1" applyFill="1" applyBorder="1"/>
    <xf numFmtId="0" fontId="0" fillId="0" borderId="13" xfId="0" applyNumberFormat="1" applyFont="1" applyFill="1" applyBorder="1"/>
    <xf numFmtId="0" fontId="1" fillId="5" borderId="9" xfId="0" applyNumberFormat="1" applyFont="1" applyFill="1" applyBorder="1"/>
    <xf numFmtId="0" fontId="1" fillId="5" borderId="10" xfId="0" applyNumberFormat="1" applyFont="1" applyFill="1" applyBorder="1"/>
    <xf numFmtId="0" fontId="1" fillId="5" borderId="15" xfId="0" applyNumberFormat="1" applyFont="1" applyFill="1" applyBorder="1"/>
    <xf numFmtId="166" fontId="0" fillId="0" borderId="12" xfId="0" applyNumberFormat="1" applyFont="1" applyFill="1" applyBorder="1"/>
    <xf numFmtId="166" fontId="0" fillId="0" borderId="14" xfId="0" applyNumberFormat="1" applyFont="1" applyFill="1" applyBorder="1"/>
    <xf numFmtId="164" fontId="0" fillId="0" borderId="12" xfId="0" applyNumberFormat="1" applyFont="1" applyFill="1" applyBorder="1"/>
    <xf numFmtId="164" fontId="0" fillId="0" borderId="14" xfId="0" applyNumberFormat="1" applyFont="1" applyFill="1" applyBorder="1"/>
    <xf numFmtId="3" fontId="0" fillId="0" borderId="16" xfId="0" applyNumberFormat="1" applyFont="1" applyFill="1" applyBorder="1"/>
    <xf numFmtId="3" fontId="0" fillId="0" borderId="12" xfId="0" applyNumberFormat="1" applyFont="1" applyFill="1" applyBorder="1"/>
    <xf numFmtId="3" fontId="0" fillId="0" borderId="17" xfId="0" applyNumberFormat="1" applyFont="1" applyFill="1" applyBorder="1"/>
    <xf numFmtId="3" fontId="0" fillId="0" borderId="14" xfId="0" applyNumberFormat="1" applyFont="1" applyFill="1" applyBorder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4" borderId="0" xfId="0" applyNumberFormat="1" applyFont="1" applyFill="1" applyBorder="1" applyAlignment="1">
      <alignment horizontal="center"/>
    </xf>
    <xf numFmtId="0" fontId="8" fillId="11" borderId="1" xfId="0" applyNumberFormat="1" applyFont="1" applyFill="1" applyBorder="1" applyAlignment="1">
      <alignment vertical="top" wrapText="1"/>
    </xf>
    <xf numFmtId="0" fontId="8" fillId="11" borderId="2" xfId="0" applyNumberFormat="1" applyFont="1" applyFill="1" applyBorder="1" applyAlignment="1">
      <alignment vertical="top" wrapText="1"/>
    </xf>
    <xf numFmtId="0" fontId="8" fillId="11" borderId="3" xfId="0" applyNumberFormat="1" applyFont="1" applyFill="1" applyBorder="1" applyAlignment="1">
      <alignment vertical="top" wrapText="1"/>
    </xf>
    <xf numFmtId="0" fontId="8" fillId="11" borderId="4" xfId="0" applyNumberFormat="1" applyFont="1" applyFill="1" applyBorder="1" applyAlignment="1">
      <alignment vertical="top" wrapText="1"/>
    </xf>
    <xf numFmtId="0" fontId="8" fillId="11" borderId="0" xfId="0" applyNumberFormat="1" applyFont="1" applyFill="1" applyBorder="1" applyAlignment="1">
      <alignment vertical="top" wrapText="1"/>
    </xf>
    <xf numFmtId="0" fontId="8" fillId="11" borderId="5" xfId="0" applyNumberFormat="1" applyFont="1" applyFill="1" applyBorder="1" applyAlignment="1">
      <alignment vertical="top" wrapText="1"/>
    </xf>
    <xf numFmtId="0" fontId="8" fillId="11" borderId="6" xfId="0" applyNumberFormat="1" applyFont="1" applyFill="1" applyBorder="1" applyAlignment="1">
      <alignment vertical="top" wrapText="1"/>
    </xf>
    <xf numFmtId="0" fontId="8" fillId="11" borderId="7" xfId="0" applyNumberFormat="1" applyFont="1" applyFill="1" applyBorder="1" applyAlignment="1">
      <alignment vertical="top" wrapText="1"/>
    </xf>
    <xf numFmtId="0" fontId="8" fillId="11" borderId="8" xfId="0" applyNumberFormat="1" applyFont="1" applyFill="1" applyBorder="1" applyAlignment="1">
      <alignment vertical="top" wrapText="1"/>
    </xf>
    <xf numFmtId="0" fontId="7" fillId="12" borderId="0" xfId="0" applyNumberFormat="1" applyFont="1" applyFill="1" applyBorder="1" applyAlignment="1">
      <alignment horizontal="center"/>
    </xf>
    <xf numFmtId="0" fontId="9" fillId="13" borderId="1" xfId="0" applyNumberFormat="1" applyFont="1" applyFill="1" applyBorder="1" applyAlignment="1">
      <alignment vertical="top" wrapText="1"/>
    </xf>
    <xf numFmtId="0" fontId="9" fillId="13" borderId="2" xfId="0" applyNumberFormat="1" applyFont="1" applyFill="1" applyBorder="1" applyAlignment="1">
      <alignment vertical="top" wrapText="1"/>
    </xf>
    <xf numFmtId="0" fontId="9" fillId="13" borderId="3" xfId="0" applyNumberFormat="1" applyFont="1" applyFill="1" applyBorder="1" applyAlignment="1">
      <alignment vertical="top" wrapText="1"/>
    </xf>
    <xf numFmtId="0" fontId="9" fillId="13" borderId="4" xfId="0" applyNumberFormat="1" applyFont="1" applyFill="1" applyBorder="1" applyAlignment="1">
      <alignment vertical="top" wrapText="1"/>
    </xf>
    <xf numFmtId="0" fontId="9" fillId="13" borderId="0" xfId="0" applyNumberFormat="1" applyFont="1" applyFill="1" applyBorder="1" applyAlignment="1">
      <alignment vertical="top" wrapText="1"/>
    </xf>
    <xf numFmtId="0" fontId="9" fillId="13" borderId="5" xfId="0" applyNumberFormat="1" applyFont="1" applyFill="1" applyBorder="1" applyAlignment="1">
      <alignment vertical="top" wrapText="1"/>
    </xf>
    <xf numFmtId="0" fontId="9" fillId="13" borderId="6" xfId="0" applyNumberFormat="1" applyFont="1" applyFill="1" applyBorder="1" applyAlignment="1">
      <alignment vertical="top" wrapText="1"/>
    </xf>
    <xf numFmtId="0" fontId="9" fillId="13" borderId="7" xfId="0" applyNumberFormat="1" applyFont="1" applyFill="1" applyBorder="1" applyAlignment="1">
      <alignment vertical="top" wrapText="1"/>
    </xf>
    <xf numFmtId="0" fontId="9" fillId="13" borderId="8" xfId="0" applyNumberFormat="1" applyFont="1" applyFill="1" applyBorder="1" applyAlignment="1">
      <alignment vertical="top" wrapText="1"/>
    </xf>
    <xf numFmtId="0" fontId="10" fillId="8" borderId="18" xfId="0" applyNumberFormat="1" applyFont="1" applyFill="1" applyBorder="1" applyAlignment="1">
      <alignment horizontal="center" vertical="center" wrapText="1"/>
    </xf>
    <xf numFmtId="0" fontId="10" fillId="8" borderId="19" xfId="0" applyNumberFormat="1" applyFont="1" applyFill="1" applyBorder="1" applyAlignment="1">
      <alignment horizontal="center" vertical="center" wrapText="1"/>
    </xf>
    <xf numFmtId="0" fontId="10" fillId="8" borderId="20" xfId="0" applyNumberFormat="1" applyFont="1" applyFill="1" applyBorder="1" applyAlignment="1">
      <alignment horizontal="center" vertical="center" wrapText="1"/>
    </xf>
    <xf numFmtId="0" fontId="10" fillId="8" borderId="21" xfId="0" applyNumberFormat="1" applyFont="1" applyFill="1" applyBorder="1" applyAlignment="1">
      <alignment horizontal="center" vertical="center" wrapText="1"/>
    </xf>
    <xf numFmtId="0" fontId="10" fillId="8" borderId="0" xfId="0" applyNumberFormat="1" applyFont="1" applyFill="1" applyBorder="1" applyAlignment="1">
      <alignment horizontal="center" vertical="center" wrapText="1"/>
    </xf>
    <xf numFmtId="0" fontId="10" fillId="8" borderId="22" xfId="0" applyNumberFormat="1" applyFont="1" applyFill="1" applyBorder="1" applyAlignment="1">
      <alignment horizontal="center" vertical="center" wrapText="1"/>
    </xf>
    <xf numFmtId="0" fontId="10" fillId="8" borderId="23" xfId="0" applyNumberFormat="1" applyFont="1" applyFill="1" applyBorder="1" applyAlignment="1">
      <alignment horizontal="center" vertical="center" wrapText="1"/>
    </xf>
    <xf numFmtId="0" fontId="10" fillId="8" borderId="24" xfId="0" applyNumberFormat="1" applyFont="1" applyFill="1" applyBorder="1" applyAlignment="1">
      <alignment horizontal="center" vertical="center" wrapText="1"/>
    </xf>
    <xf numFmtId="0" fontId="10" fillId="8" borderId="25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2" xfId="0" applyNumberFormat="1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5" fillId="6" borderId="5" xfId="0" applyNumberFormat="1" applyFont="1" applyFill="1" applyBorder="1" applyAlignment="1">
      <alignment horizontal="center" vertical="center"/>
    </xf>
    <xf numFmtId="0" fontId="5" fillId="6" borderId="6" xfId="0" applyNumberFormat="1" applyFont="1" applyFill="1" applyBorder="1" applyAlignment="1">
      <alignment horizontal="center" vertical="center"/>
    </xf>
    <xf numFmtId="0" fontId="5" fillId="6" borderId="7" xfId="0" applyNumberFormat="1" applyFont="1" applyFill="1" applyBorder="1" applyAlignment="1">
      <alignment horizontal="center" vertical="center"/>
    </xf>
    <xf numFmtId="0" fontId="5" fillId="6" borderId="8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0" fontId="5" fillId="7" borderId="3" xfId="0" applyNumberFormat="1" applyFont="1" applyFill="1" applyBorder="1" applyAlignment="1">
      <alignment horizontal="center" vertical="center"/>
    </xf>
    <xf numFmtId="164" fontId="5" fillId="7" borderId="4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5" fillId="7" borderId="5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center" vertical="center"/>
    </xf>
    <xf numFmtId="0" fontId="5" fillId="7" borderId="7" xfId="0" applyNumberFormat="1" applyFont="1" applyFill="1" applyBorder="1" applyAlignment="1">
      <alignment horizontal="center" vertical="center"/>
    </xf>
    <xf numFmtId="0" fontId="5" fillId="7" borderId="8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5" fillId="8" borderId="2" xfId="0" applyNumberFormat="1" applyFont="1" applyFill="1" applyBorder="1" applyAlignment="1">
      <alignment horizontal="center" vertical="center"/>
    </xf>
    <xf numFmtId="0" fontId="5" fillId="8" borderId="3" xfId="0" applyNumberFormat="1" applyFont="1" applyFill="1" applyBorder="1" applyAlignment="1">
      <alignment horizontal="center" vertical="center"/>
    </xf>
    <xf numFmtId="3" fontId="5" fillId="8" borderId="4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 vertical="center"/>
    </xf>
    <xf numFmtId="0" fontId="5" fillId="8" borderId="5" xfId="0" applyNumberFormat="1" applyFont="1" applyFill="1" applyBorder="1" applyAlignment="1">
      <alignment horizontal="center" vertical="center"/>
    </xf>
    <xf numFmtId="0" fontId="5" fillId="8" borderId="6" xfId="0" applyNumberFormat="1" applyFont="1" applyFill="1" applyBorder="1" applyAlignment="1">
      <alignment horizontal="center" vertical="center"/>
    </xf>
    <xf numFmtId="0" fontId="5" fillId="8" borderId="7" xfId="0" applyNumberFormat="1" applyFont="1" applyFill="1" applyBorder="1" applyAlignment="1">
      <alignment horizontal="center" vertical="center"/>
    </xf>
    <xf numFmtId="0" fontId="5" fillId="8" borderId="8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0" fontId="5" fillId="9" borderId="2" xfId="0" applyNumberFormat="1" applyFont="1" applyFill="1" applyBorder="1" applyAlignment="1">
      <alignment horizontal="center" vertical="center"/>
    </xf>
    <xf numFmtId="0" fontId="5" fillId="9" borderId="3" xfId="0" applyNumberFormat="1" applyFont="1" applyFill="1" applyBorder="1" applyAlignment="1">
      <alignment horizontal="center" vertical="center"/>
    </xf>
    <xf numFmtId="3" fontId="5" fillId="9" borderId="4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5" fillId="9" borderId="5" xfId="0" applyNumberFormat="1" applyFont="1" applyFill="1" applyBorder="1" applyAlignment="1">
      <alignment horizontal="center" vertical="center"/>
    </xf>
    <xf numFmtId="0" fontId="5" fillId="9" borderId="6" xfId="0" applyNumberFormat="1" applyFont="1" applyFill="1" applyBorder="1" applyAlignment="1">
      <alignment horizontal="center" vertical="center"/>
    </xf>
    <xf numFmtId="0" fontId="5" fillId="9" borderId="7" xfId="0" applyNumberFormat="1" applyFont="1" applyFill="1" applyBorder="1" applyAlignment="1">
      <alignment horizontal="center" vertical="center"/>
    </xf>
    <xf numFmtId="0" fontId="5" fillId="9" borderId="8" xfId="0" applyNumberFormat="1" applyFont="1" applyFill="1" applyBorder="1" applyAlignment="1">
      <alignment horizontal="center" vertical="center"/>
    </xf>
    <xf numFmtId="0" fontId="6" fillId="1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Total Cost by Supplier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Spend</c:v>
          </c:tx>
          <c:invertIfNegative val="1"/>
          <c:cat>
            <c:strRef>
              <c:f>Analysis!$J$2:$J$4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Analysis!$K$2:$K$4</c:f>
              <c:numCache>
                <c:formatCode>#,##0.0</c:formatCode>
                <c:ptCount val="3"/>
                <c:pt idx="0">
                  <c:v>4686</c:v>
                </c:pt>
                <c:pt idx="1">
                  <c:v>3900</c:v>
                </c:pt>
                <c:pt idx="2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8-45B1-8C93-A98E6616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Cost Distribution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Total Spend</c:v>
          </c:tx>
          <c:cat>
            <c:strRef>
              <c:f>Analysis!$M$7:$M$8</c:f>
              <c:strCache>
                <c:ptCount val="2"/>
                <c:pt idx="0">
                  <c:v>Packaging</c:v>
                </c:pt>
                <c:pt idx="1">
                  <c:v>Raw Material</c:v>
                </c:pt>
              </c:strCache>
            </c:strRef>
          </c:cat>
          <c:val>
            <c:numRef>
              <c:f>Analysis!$N$7:$N$8</c:f>
              <c:numCache>
                <c:formatCode>#,##0.0</c:formatCode>
                <c:ptCount val="2"/>
                <c:pt idx="0">
                  <c:v>6287.5</c:v>
                </c:pt>
                <c:pt idx="1">
                  <c:v>6536.5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E-46D9-AD00-412866BC8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On-Time vs Delayed Orders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Delayed Orders</c:v>
          </c:tx>
          <c:invertIfNegative val="1"/>
          <c:cat>
            <c:strRef>
              <c:f>Analysis!$J$12:$J$14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Analysis!$K$12:$K$14</c:f>
              <c:numCache>
                <c:formatCode>#,##0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9-4C59-B255-D048496EFC91}"/>
            </c:ext>
          </c:extLst>
        </c:ser>
        <c:ser>
          <c:idx val="1"/>
          <c:order val="1"/>
          <c:tx>
            <c:v>On-Time Orders</c:v>
          </c:tx>
          <c:invertIfNegative val="1"/>
          <c:cat>
            <c:strRef>
              <c:f>Analysis!$J$12:$J$14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Analysis!$L$12:$L$14</c:f>
              <c:numCache>
                <c:formatCode>#,##0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9-4C59-B255-D048496EF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Units Received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Units Received</c:v>
          </c:tx>
          <c:invertIfNegative val="1"/>
          <c:cat>
            <c:strRef>
              <c:f>Analysis!$N$12:$N$15</c:f>
              <c:strCache>
                <c:ptCount val="4"/>
                <c:pt idx="0">
                  <c:v>Packaging A</c:v>
                </c:pt>
                <c:pt idx="1">
                  <c:v>Packaging B</c:v>
                </c:pt>
                <c:pt idx="2">
                  <c:v>Raw Makhana</c:v>
                </c:pt>
                <c:pt idx="3">
                  <c:v>Spices Mix</c:v>
                </c:pt>
              </c:strCache>
            </c:strRef>
          </c:cat>
          <c:val>
            <c:numRef>
              <c:f>Analysis!$O$12:$O$15</c:f>
              <c:numCache>
                <c:formatCode>#,##0</c:formatCode>
                <c:ptCount val="4"/>
                <c:pt idx="0">
                  <c:v>1600</c:v>
                </c:pt>
                <c:pt idx="1">
                  <c:v>835</c:v>
                </c:pt>
                <c:pt idx="2">
                  <c:v>935</c:v>
                </c:pt>
                <c:pt idx="3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7-43D1-A1F3-FDEC69FC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">
  <autoFilter ref="A1:M11" xr:uid="{00000000-0009-0000-0100-000001000000}"/>
  <tableColumns count="13">
    <tableColumn id="1" xr3:uid="{00000000-0010-0000-0000-000001000000}" name="Date"/>
    <tableColumn id="2" xr3:uid="{00000000-0010-0000-0000-000002000000}" name="Product"/>
    <tableColumn id="3" xr3:uid="{00000000-0010-0000-0000-000003000000}" name="Supplier"/>
    <tableColumn id="4" xr3:uid="{00000000-0010-0000-0000-000004000000}" name="Category"/>
    <tableColumn id="5" xr3:uid="{00000000-0010-0000-0000-000005000000}" name="Units Ordered"/>
    <tableColumn id="6" xr3:uid="{00000000-0010-0000-0000-000006000000}" name="Units Received"/>
    <tableColumn id="7" xr3:uid="{00000000-0010-0000-0000-000007000000}" name="Unit Cost"/>
    <tableColumn id="8" xr3:uid="{00000000-0010-0000-0000-000008000000}" name="Delivery Days"/>
    <tableColumn id="9" xr3:uid="{00000000-0010-0000-0000-000009000000}" name="Defect %"/>
    <tableColumn id="10" xr3:uid="{00000000-0010-0000-0000-00000A000000}" name="Region"/>
    <tableColumn id="11" xr3:uid="{00000000-0010-0000-0000-00000B000000}" name="Total Cost "/>
    <tableColumn id="12" xr3:uid="{00000000-0010-0000-0000-00000C000000}" name="Delay Flag"/>
    <tableColumn id="13" xr3:uid="{00000000-0010-0000-0000-00000D000000}" name="Quality Statu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4" sqref="L4"/>
    </sheetView>
  </sheetViews>
  <sheetFormatPr defaultRowHeight="14.4" x14ac:dyDescent="0.3"/>
  <cols>
    <col min="1" max="1" width="10.33203125" customWidth="1"/>
    <col min="2" max="2" width="12.5546875" customWidth="1"/>
    <col min="3" max="3" width="9.77734375" customWidth="1"/>
    <col min="4" max="4" width="11.88671875" customWidth="1"/>
    <col min="5" max="5" width="14.5546875" customWidth="1"/>
    <col min="6" max="6" width="15.21875" customWidth="1"/>
    <col min="7" max="7" width="10.5546875" customWidth="1"/>
    <col min="8" max="8" width="14.109375" customWidth="1"/>
    <col min="9" max="9" width="10.21875" customWidth="1"/>
    <col min="11" max="11" width="11.6640625" customWidth="1"/>
    <col min="12" max="12" width="11.33203125" customWidth="1"/>
    <col min="13" max="13" width="14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2">
        <v>500</v>
      </c>
      <c r="F2" s="2">
        <v>480</v>
      </c>
      <c r="G2" s="2">
        <v>2.5</v>
      </c>
      <c r="H2" s="2">
        <v>5</v>
      </c>
      <c r="I2" s="2">
        <v>2</v>
      </c>
      <c r="J2" s="2" t="s">
        <v>17</v>
      </c>
      <c r="K2" s="2">
        <f t="shared" ref="K2:K11" si="0">F2*G2</f>
        <v>1200</v>
      </c>
      <c r="L2" s="2" t="str">
        <f t="shared" ref="L2:L11" si="1">IF(H1:H11&gt;5,"Delayed","On Time")</f>
        <v>On Time</v>
      </c>
      <c r="M2" s="2" t="str">
        <f t="shared" ref="M2:M11" si="2">IF(I1:I11&gt;2,"Poor","Good")</f>
        <v>Good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s="2">
        <v>300</v>
      </c>
      <c r="F3" s="2">
        <v>300</v>
      </c>
      <c r="G3" s="2">
        <v>5</v>
      </c>
      <c r="H3" s="2">
        <v>3</v>
      </c>
      <c r="I3" s="2">
        <v>1</v>
      </c>
      <c r="J3" s="2" t="s">
        <v>22</v>
      </c>
      <c r="K3" s="2">
        <f t="shared" si="0"/>
        <v>1500</v>
      </c>
      <c r="L3" s="2" t="str">
        <f t="shared" si="1"/>
        <v>On Time</v>
      </c>
      <c r="M3" s="2" t="str">
        <f t="shared" si="2"/>
        <v>Good</v>
      </c>
    </row>
    <row r="4" spans="1:13" x14ac:dyDescent="0.3">
      <c r="A4" t="s">
        <v>23</v>
      </c>
      <c r="B4" t="s">
        <v>24</v>
      </c>
      <c r="C4" t="s">
        <v>25</v>
      </c>
      <c r="D4" t="s">
        <v>16</v>
      </c>
      <c r="E4" s="2">
        <v>400</v>
      </c>
      <c r="F4" s="2">
        <v>390</v>
      </c>
      <c r="G4" s="2">
        <v>2.8</v>
      </c>
      <c r="H4" s="2">
        <v>6</v>
      </c>
      <c r="I4" s="2">
        <v>3</v>
      </c>
      <c r="J4" s="2" t="s">
        <v>26</v>
      </c>
      <c r="K4" s="2">
        <f t="shared" si="0"/>
        <v>1092</v>
      </c>
      <c r="L4" s="2" t="str">
        <f t="shared" si="1"/>
        <v>Delayed</v>
      </c>
      <c r="M4" s="2" t="str">
        <f t="shared" si="2"/>
        <v>Poor</v>
      </c>
    </row>
    <row r="5" spans="1:13" x14ac:dyDescent="0.3">
      <c r="A5" t="s">
        <v>27</v>
      </c>
      <c r="B5" t="s">
        <v>28</v>
      </c>
      <c r="C5" t="s">
        <v>15</v>
      </c>
      <c r="D5" t="s">
        <v>21</v>
      </c>
      <c r="E5" s="2">
        <v>200</v>
      </c>
      <c r="F5" s="2">
        <v>195</v>
      </c>
      <c r="G5" s="2">
        <v>4</v>
      </c>
      <c r="H5" s="2">
        <v>4</v>
      </c>
      <c r="I5" s="2">
        <v>2</v>
      </c>
      <c r="J5" s="2" t="s">
        <v>17</v>
      </c>
      <c r="K5" s="2">
        <f t="shared" si="0"/>
        <v>780</v>
      </c>
      <c r="L5" s="2" t="str">
        <f t="shared" si="1"/>
        <v>On Time</v>
      </c>
      <c r="M5" s="2" t="str">
        <f t="shared" si="2"/>
        <v>Good</v>
      </c>
    </row>
    <row r="6" spans="1:13" x14ac:dyDescent="0.3">
      <c r="A6" t="s">
        <v>29</v>
      </c>
      <c r="B6" t="s">
        <v>14</v>
      </c>
      <c r="C6" t="s">
        <v>20</v>
      </c>
      <c r="D6" t="s">
        <v>16</v>
      </c>
      <c r="E6" s="2">
        <v>600</v>
      </c>
      <c r="F6" s="2">
        <v>590</v>
      </c>
      <c r="G6" s="2">
        <v>2.4</v>
      </c>
      <c r="H6" s="2">
        <v>5</v>
      </c>
      <c r="I6" s="2">
        <v>1</v>
      </c>
      <c r="J6" s="2" t="s">
        <v>30</v>
      </c>
      <c r="K6" s="2">
        <f t="shared" si="0"/>
        <v>1416</v>
      </c>
      <c r="L6" s="2" t="str">
        <f t="shared" si="1"/>
        <v>On Time</v>
      </c>
      <c r="M6" s="2" t="str">
        <f t="shared" si="2"/>
        <v>Good</v>
      </c>
    </row>
    <row r="7" spans="1:13" x14ac:dyDescent="0.3">
      <c r="A7" t="s">
        <v>31</v>
      </c>
      <c r="B7" t="s">
        <v>19</v>
      </c>
      <c r="C7" t="s">
        <v>25</v>
      </c>
      <c r="D7" t="s">
        <v>21</v>
      </c>
      <c r="E7" s="2">
        <v>350</v>
      </c>
      <c r="F7" s="2">
        <v>340</v>
      </c>
      <c r="G7" s="2">
        <v>5.2</v>
      </c>
      <c r="H7" s="2">
        <v>7</v>
      </c>
      <c r="I7" s="2">
        <v>4</v>
      </c>
      <c r="J7" s="2" t="s">
        <v>22</v>
      </c>
      <c r="K7" s="2">
        <f t="shared" si="0"/>
        <v>1768</v>
      </c>
      <c r="L7" s="2" t="str">
        <f t="shared" si="1"/>
        <v>Delayed</v>
      </c>
      <c r="M7" s="2" t="str">
        <f t="shared" si="2"/>
        <v>Poor</v>
      </c>
    </row>
    <row r="8" spans="1:13" x14ac:dyDescent="0.3">
      <c r="A8" t="s">
        <v>32</v>
      </c>
      <c r="B8" t="s">
        <v>24</v>
      </c>
      <c r="C8" t="s">
        <v>15</v>
      </c>
      <c r="D8" t="s">
        <v>16</v>
      </c>
      <c r="E8" s="2">
        <v>450</v>
      </c>
      <c r="F8" s="2">
        <v>445</v>
      </c>
      <c r="G8" s="2">
        <v>2.7</v>
      </c>
      <c r="H8" s="2">
        <v>3</v>
      </c>
      <c r="I8" s="2">
        <v>1</v>
      </c>
      <c r="J8" s="2" t="s">
        <v>26</v>
      </c>
      <c r="K8" s="2">
        <f t="shared" si="0"/>
        <v>1201.5</v>
      </c>
      <c r="L8" s="2" t="str">
        <f t="shared" si="1"/>
        <v>On Time</v>
      </c>
      <c r="M8" s="2" t="str">
        <f t="shared" si="2"/>
        <v>Good</v>
      </c>
    </row>
    <row r="9" spans="1:13" x14ac:dyDescent="0.3">
      <c r="A9" t="s">
        <v>33</v>
      </c>
      <c r="B9" t="s">
        <v>28</v>
      </c>
      <c r="C9" t="s">
        <v>20</v>
      </c>
      <c r="D9" t="s">
        <v>21</v>
      </c>
      <c r="E9" s="2">
        <v>250</v>
      </c>
      <c r="F9" s="2">
        <v>240</v>
      </c>
      <c r="G9" s="2">
        <v>4.0999999999999996</v>
      </c>
      <c r="H9" s="2">
        <v>6</v>
      </c>
      <c r="I9" s="2">
        <v>3</v>
      </c>
      <c r="J9" s="2" t="s">
        <v>30</v>
      </c>
      <c r="K9" s="2">
        <f t="shared" si="0"/>
        <v>983.99999999999989</v>
      </c>
      <c r="L9" s="2" t="str">
        <f t="shared" si="1"/>
        <v>Delayed</v>
      </c>
      <c r="M9" s="2" t="str">
        <f t="shared" si="2"/>
        <v>Poor</v>
      </c>
    </row>
    <row r="10" spans="1:13" x14ac:dyDescent="0.3">
      <c r="A10" t="s">
        <v>34</v>
      </c>
      <c r="B10" t="s">
        <v>14</v>
      </c>
      <c r="C10" t="s">
        <v>25</v>
      </c>
      <c r="D10" t="s">
        <v>16</v>
      </c>
      <c r="E10" s="2">
        <v>550</v>
      </c>
      <c r="F10" s="2">
        <v>530</v>
      </c>
      <c r="G10" s="2">
        <v>2.6</v>
      </c>
      <c r="H10" s="2">
        <v>5</v>
      </c>
      <c r="I10" s="2">
        <v>2</v>
      </c>
      <c r="J10" s="2" t="s">
        <v>17</v>
      </c>
      <c r="K10" s="2">
        <f t="shared" si="0"/>
        <v>1378</v>
      </c>
      <c r="L10" s="2" t="str">
        <f t="shared" si="1"/>
        <v>On Time</v>
      </c>
      <c r="M10" s="2" t="str">
        <f t="shared" si="2"/>
        <v>Good</v>
      </c>
    </row>
    <row r="11" spans="1:13" x14ac:dyDescent="0.3">
      <c r="A11" t="s">
        <v>35</v>
      </c>
      <c r="B11" t="s">
        <v>19</v>
      </c>
      <c r="C11" t="s">
        <v>15</v>
      </c>
      <c r="D11" t="s">
        <v>21</v>
      </c>
      <c r="E11" s="2">
        <v>300</v>
      </c>
      <c r="F11" s="2">
        <v>295</v>
      </c>
      <c r="G11" s="2">
        <v>5.0999999999999996</v>
      </c>
      <c r="H11" s="2">
        <v>4</v>
      </c>
      <c r="I11" s="2">
        <v>1</v>
      </c>
      <c r="J11" s="2" t="s">
        <v>22</v>
      </c>
      <c r="K11" s="2">
        <f t="shared" si="0"/>
        <v>1504.5</v>
      </c>
      <c r="L11" s="2" t="str">
        <f t="shared" si="1"/>
        <v>On Time</v>
      </c>
      <c r="M11" s="2" t="str">
        <f t="shared" si="2"/>
        <v>Good</v>
      </c>
    </row>
  </sheetData>
  <pageMargins left="0.7" right="0.7" top="0.75" bottom="0.75" header="0.3" footer="0.3"/>
  <ignoredErrors>
    <ignoredError sqref="L4:M4 L5:M11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1"/>
  <sheetViews>
    <sheetView workbookViewId="0">
      <selection activeCell="K13" sqref="K13"/>
    </sheetView>
  </sheetViews>
  <sheetFormatPr defaultRowHeight="14.4" x14ac:dyDescent="0.3"/>
  <cols>
    <col min="1" max="1" width="10.77734375" customWidth="1"/>
    <col min="2" max="2" width="18" customWidth="1"/>
    <col min="3" max="4" width="11.6640625" customWidth="1"/>
    <col min="5" max="5" width="10.77734375" customWidth="1"/>
    <col min="6" max="6" width="11" customWidth="1"/>
    <col min="7" max="7" width="12.5546875" customWidth="1"/>
    <col min="8" max="8" width="14" customWidth="1"/>
    <col min="9" max="9" width="20" customWidth="1"/>
    <col min="10" max="10" width="8.88671875" bestFit="1" customWidth="1"/>
    <col min="11" max="11" width="13.88671875" bestFit="1" customWidth="1"/>
    <col min="12" max="12" width="14.33203125" bestFit="1" customWidth="1"/>
    <col min="13" max="13" width="11.88671875" bestFit="1" customWidth="1"/>
    <col min="14" max="14" width="16" bestFit="1" customWidth="1"/>
    <col min="15" max="15" width="13.44140625" bestFit="1" customWidth="1"/>
  </cols>
  <sheetData>
    <row r="1" spans="2:15" x14ac:dyDescent="0.3">
      <c r="J1" s="9" t="s">
        <v>2</v>
      </c>
      <c r="K1" s="10" t="s">
        <v>40</v>
      </c>
      <c r="M1" s="9" t="s">
        <v>2</v>
      </c>
      <c r="N1" s="10" t="s">
        <v>41</v>
      </c>
    </row>
    <row r="2" spans="2:15" x14ac:dyDescent="0.3">
      <c r="J2" s="7" t="s">
        <v>15</v>
      </c>
      <c r="K2" s="12">
        <f>SUMIF('Raw Data'!C2:C11,"Supplier X",'Raw Data'!K2:K11)</f>
        <v>4686</v>
      </c>
      <c r="M2" s="7" t="s">
        <v>15</v>
      </c>
      <c r="N2" s="14">
        <f>AVERAGEIF('Raw Data'!C2:C11,"Supplier X",'Raw Data'!H2:H11)</f>
        <v>4</v>
      </c>
    </row>
    <row r="3" spans="2:15" x14ac:dyDescent="0.3">
      <c r="J3" s="7" t="s">
        <v>20</v>
      </c>
      <c r="K3" s="12">
        <f>SUMIF('Raw Data'!C2:C11,"Supplier Y",'Raw Data'!K2:K11)</f>
        <v>3900</v>
      </c>
      <c r="M3" s="7" t="s">
        <v>20</v>
      </c>
      <c r="N3" s="14">
        <f>AVERAGEIF('Raw Data'!C2:C11,"Supplier Y",'Raw Data'!H2:H11)</f>
        <v>4.666666666666667</v>
      </c>
    </row>
    <row r="4" spans="2:15" ht="21" x14ac:dyDescent="0.4">
      <c r="B4" s="20" t="s">
        <v>36</v>
      </c>
      <c r="C4" s="21"/>
      <c r="D4" s="21"/>
      <c r="E4" s="21"/>
      <c r="G4" s="20" t="s">
        <v>37</v>
      </c>
      <c r="H4" s="20"/>
      <c r="J4" s="8" t="s">
        <v>25</v>
      </c>
      <c r="K4" s="13">
        <f>SUMIF('Raw Data'!C2:C11,"Supplier Z",'Raw Data'!K2:K11)</f>
        <v>4238</v>
      </c>
      <c r="M4" s="8" t="s">
        <v>25</v>
      </c>
      <c r="N4" s="15">
        <f>AVERAGEIF('Raw Data'!C2:C11,"Supplier Z",'Raw Data'!H2:H11)</f>
        <v>6</v>
      </c>
    </row>
    <row r="5" spans="2:15" x14ac:dyDescent="0.3">
      <c r="B5" s="3" t="s">
        <v>42</v>
      </c>
      <c r="C5" t="s">
        <v>40</v>
      </c>
      <c r="D5" t="s">
        <v>43</v>
      </c>
      <c r="E5" t="s">
        <v>44</v>
      </c>
      <c r="G5" s="3" t="s">
        <v>42</v>
      </c>
      <c r="H5" t="s">
        <v>40</v>
      </c>
    </row>
    <row r="6" spans="2:15" x14ac:dyDescent="0.3">
      <c r="B6" t="s">
        <v>15</v>
      </c>
      <c r="C6" s="4">
        <v>4686</v>
      </c>
      <c r="D6" s="6">
        <v>4</v>
      </c>
      <c r="E6" s="6">
        <v>1.5</v>
      </c>
      <c r="G6" t="s">
        <v>16</v>
      </c>
      <c r="H6" s="4">
        <v>6287.5</v>
      </c>
      <c r="J6" s="9" t="s">
        <v>2</v>
      </c>
      <c r="K6" s="10" t="s">
        <v>45</v>
      </c>
      <c r="M6" s="9" t="s">
        <v>3</v>
      </c>
      <c r="N6" s="10" t="s">
        <v>40</v>
      </c>
    </row>
    <row r="7" spans="2:15" x14ac:dyDescent="0.3">
      <c r="B7" t="s">
        <v>20</v>
      </c>
      <c r="C7" s="4">
        <v>3900</v>
      </c>
      <c r="D7" s="6">
        <v>4.666666666666667</v>
      </c>
      <c r="E7" s="6">
        <v>1.6666666666666667</v>
      </c>
      <c r="G7" t="s">
        <v>21</v>
      </c>
      <c r="H7" s="4">
        <v>6536.5</v>
      </c>
      <c r="J7" s="7" t="s">
        <v>15</v>
      </c>
      <c r="K7" s="14">
        <f>AVERAGEIF('Raw Data'!C2:C11,"Supplier X",'Raw Data'!I2:I11)</f>
        <v>1.5</v>
      </c>
      <c r="M7" s="7" t="s">
        <v>16</v>
      </c>
      <c r="N7" s="12">
        <f>SUMIF('Raw Data'!D2:D11,"Packaging",'Raw Data'!K2:K11)</f>
        <v>6287.5</v>
      </c>
    </row>
    <row r="8" spans="2:15" x14ac:dyDescent="0.3">
      <c r="B8" t="s">
        <v>25</v>
      </c>
      <c r="C8" s="4">
        <v>4238</v>
      </c>
      <c r="D8" s="6">
        <v>6</v>
      </c>
      <c r="E8" s="6">
        <v>3</v>
      </c>
      <c r="G8" t="s">
        <v>46</v>
      </c>
      <c r="H8" s="4">
        <v>12824</v>
      </c>
      <c r="J8" s="7" t="s">
        <v>20</v>
      </c>
      <c r="K8" s="14">
        <f>AVERAGEIF('Raw Data'!C2:C11,"Supplier Y",'Raw Data'!I2:I11)</f>
        <v>1.6666666666666667</v>
      </c>
      <c r="M8" s="8" t="s">
        <v>21</v>
      </c>
      <c r="N8" s="13">
        <f>SUMIF('Raw Data'!D2:D11,"Raw Material",'Raw Data'!K2:K11)</f>
        <v>6536.5</v>
      </c>
    </row>
    <row r="9" spans="2:15" x14ac:dyDescent="0.3">
      <c r="B9" t="s">
        <v>46</v>
      </c>
      <c r="C9" s="4">
        <v>12824</v>
      </c>
      <c r="D9" s="4">
        <v>4.8</v>
      </c>
      <c r="E9" s="4">
        <v>2</v>
      </c>
      <c r="J9" s="8" t="s">
        <v>25</v>
      </c>
      <c r="K9" s="15">
        <f>AVERAGEIF('Raw Data'!C2:C11,"Supplier Z",'Raw Data'!I2:I11)</f>
        <v>3</v>
      </c>
    </row>
    <row r="11" spans="2:15" x14ac:dyDescent="0.3">
      <c r="J11" s="9" t="s">
        <v>2</v>
      </c>
      <c r="K11" s="11" t="s">
        <v>47</v>
      </c>
      <c r="L11" s="10" t="s">
        <v>48</v>
      </c>
      <c r="N11" s="9" t="s">
        <v>1</v>
      </c>
      <c r="O11" s="10" t="s">
        <v>5</v>
      </c>
    </row>
    <row r="12" spans="2:15" x14ac:dyDescent="0.3">
      <c r="J12" s="7" t="s">
        <v>15</v>
      </c>
      <c r="K12" s="16">
        <f>COUNTIFS('Raw Data'!C2:C11,"Supplier X",'Raw Data'!L2:L11,J17)</f>
        <v>0</v>
      </c>
      <c r="L12" s="17">
        <f>COUNTIFS('Raw Data'!C2:C11,"Supplier X",'Raw Data'!L2:L11,"On Time")</f>
        <v>4</v>
      </c>
      <c r="N12" s="7" t="s">
        <v>14</v>
      </c>
      <c r="O12" s="17">
        <f>SUMIF('Raw Data'!B2:B11,"Packaging A",'Raw Data'!F2:F11)</f>
        <v>1600</v>
      </c>
    </row>
    <row r="13" spans="2:15" x14ac:dyDescent="0.3">
      <c r="J13" s="7" t="s">
        <v>20</v>
      </c>
      <c r="K13" s="16">
        <f>COUNTIFS('Raw Data'!C2:C11,"Supplier Y",'Raw Data'!L2:L11,"Delayed")</f>
        <v>1</v>
      </c>
      <c r="L13" s="17">
        <f>COUNTIFS('Raw Data'!C2:C11,"Supplier Y",'Raw Data'!L2:L11,"On Time")</f>
        <v>2</v>
      </c>
      <c r="N13" s="7" t="s">
        <v>24</v>
      </c>
      <c r="O13" s="17">
        <f>SUMIF('Raw Data'!B2:B11,"Packaging B",'Raw Data'!F2:F11)</f>
        <v>835</v>
      </c>
    </row>
    <row r="14" spans="2:15" x14ac:dyDescent="0.3">
      <c r="J14" s="8" t="s">
        <v>25</v>
      </c>
      <c r="K14" s="18">
        <f>COUNTIFS('Raw Data'!C2:C11,"Supplier Z",'Raw Data'!L2:L11,"Delayed")</f>
        <v>2</v>
      </c>
      <c r="L14" s="19">
        <f>COUNTIFS('Raw Data'!C2:C11,"Supplier Z",'Raw Data'!L2:L11,"On Time")</f>
        <v>1</v>
      </c>
      <c r="N14" s="7" t="s">
        <v>19</v>
      </c>
      <c r="O14" s="17">
        <f>SUMIF('Raw Data'!B2:B11,"Raw Makhana",'Raw Data'!F2:F11)</f>
        <v>935</v>
      </c>
    </row>
    <row r="15" spans="2:15" ht="21" x14ac:dyDescent="0.4">
      <c r="B15" s="20" t="s">
        <v>38</v>
      </c>
      <c r="C15" s="20"/>
      <c r="D15" s="20"/>
      <c r="E15" s="20"/>
      <c r="G15" s="20" t="s">
        <v>39</v>
      </c>
      <c r="H15" s="20"/>
      <c r="N15" s="8" t="s">
        <v>28</v>
      </c>
      <c r="O15" s="19">
        <f>SUMIF('Raw Data'!B2:B11,"Spices Mix",'Raw Data'!F2:F11)</f>
        <v>435</v>
      </c>
    </row>
    <row r="16" spans="2:15" x14ac:dyDescent="0.3">
      <c r="B16" s="3"/>
      <c r="C16" s="3" t="s">
        <v>49</v>
      </c>
      <c r="D16" t="s">
        <v>50</v>
      </c>
      <c r="E16" t="s">
        <v>46</v>
      </c>
      <c r="G16" s="3" t="s">
        <v>42</v>
      </c>
      <c r="H16" t="s">
        <v>51</v>
      </c>
    </row>
    <row r="17" spans="2:8" x14ac:dyDescent="0.3">
      <c r="B17" s="3" t="s">
        <v>42</v>
      </c>
      <c r="E17" t="s">
        <v>46</v>
      </c>
      <c r="G17" t="s">
        <v>14</v>
      </c>
      <c r="H17" s="4">
        <v>1600</v>
      </c>
    </row>
    <row r="18" spans="2:8" x14ac:dyDescent="0.3">
      <c r="B18" t="s">
        <v>15</v>
      </c>
      <c r="C18" s="4">
        <v>500</v>
      </c>
      <c r="D18" s="4">
        <v>950</v>
      </c>
      <c r="E18" s="4">
        <v>1450</v>
      </c>
      <c r="G18" t="s">
        <v>24</v>
      </c>
      <c r="H18" s="4">
        <v>835</v>
      </c>
    </row>
    <row r="19" spans="2:8" x14ac:dyDescent="0.3">
      <c r="B19" t="s">
        <v>20</v>
      </c>
      <c r="C19" s="4">
        <v>250</v>
      </c>
      <c r="D19" s="4">
        <v>900</v>
      </c>
      <c r="E19" s="4">
        <v>1150</v>
      </c>
      <c r="G19" t="s">
        <v>19</v>
      </c>
      <c r="H19" s="4">
        <v>935</v>
      </c>
    </row>
    <row r="20" spans="2:8" x14ac:dyDescent="0.3">
      <c r="B20" t="s">
        <v>25</v>
      </c>
      <c r="C20" s="4">
        <v>750</v>
      </c>
      <c r="D20" s="4">
        <v>550</v>
      </c>
      <c r="E20" s="4">
        <v>1300</v>
      </c>
      <c r="G20" t="s">
        <v>28</v>
      </c>
      <c r="H20" s="4">
        <v>435</v>
      </c>
    </row>
    <row r="21" spans="2:8" x14ac:dyDescent="0.3">
      <c r="B21" t="s">
        <v>46</v>
      </c>
      <c r="C21" s="4">
        <v>1500</v>
      </c>
      <c r="D21" s="4">
        <v>2400</v>
      </c>
      <c r="E21" s="4">
        <v>3900</v>
      </c>
      <c r="G21" t="s">
        <v>46</v>
      </c>
      <c r="H21" s="4">
        <v>3805</v>
      </c>
    </row>
  </sheetData>
  <mergeCells count="4">
    <mergeCell ref="B4:E4"/>
    <mergeCell ref="G4:H4"/>
    <mergeCell ref="B15:E15"/>
    <mergeCell ref="G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24"/>
  <sheetViews>
    <sheetView zoomScale="80" zoomScaleNormal="80" workbookViewId="0">
      <selection activeCell="R2" sqref="R2"/>
    </sheetView>
  </sheetViews>
  <sheetFormatPr defaultRowHeight="14.4" x14ac:dyDescent="0.3"/>
  <cols>
    <col min="1" max="1" width="3" customWidth="1"/>
    <col min="2" max="4" width="14" customWidth="1"/>
    <col min="5" max="5" width="3" customWidth="1"/>
    <col min="6" max="8" width="14" customWidth="1"/>
    <col min="9" max="9" width="3" customWidth="1"/>
    <col min="10" max="12" width="14" customWidth="1"/>
    <col min="13" max="13" width="3" customWidth="1"/>
    <col min="14" max="16" width="14" customWidth="1"/>
    <col min="17" max="17" width="3" customWidth="1"/>
    <col min="18" max="22" width="16" customWidth="1"/>
  </cols>
  <sheetData>
    <row r="1" spans="2:22" ht="22.35" customHeight="1" x14ac:dyDescent="0.3">
      <c r="B1" s="51" t="s">
        <v>52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22" x14ac:dyDescent="0.3">
      <c r="B2" s="52" t="s">
        <v>53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2:22" x14ac:dyDescent="0.3">
      <c r="B3" s="89" t="s">
        <v>40</v>
      </c>
      <c r="C3" s="89"/>
      <c r="D3" s="89"/>
      <c r="F3" s="89" t="s">
        <v>41</v>
      </c>
      <c r="G3" s="89"/>
      <c r="H3" s="89"/>
      <c r="J3" s="89" t="s">
        <v>54</v>
      </c>
      <c r="K3" s="89"/>
      <c r="L3" s="89"/>
      <c r="N3" s="89" t="s">
        <v>47</v>
      </c>
      <c r="O3" s="89"/>
      <c r="P3" s="89"/>
    </row>
    <row r="4" spans="2:22" ht="15.6" x14ac:dyDescent="0.3">
      <c r="B4" s="53">
        <f>SUM('Raw Data'!K2:K11)</f>
        <v>12824</v>
      </c>
      <c r="C4" s="54"/>
      <c r="D4" s="55"/>
      <c r="F4" s="62">
        <f>AVERAGE('Raw Data'!H2:H11)</f>
        <v>4.8</v>
      </c>
      <c r="G4" s="63"/>
      <c r="H4" s="64"/>
      <c r="J4" s="71">
        <f>SUM('Raw Data'!F2:F11)</f>
        <v>3805</v>
      </c>
      <c r="K4" s="72"/>
      <c r="L4" s="73"/>
      <c r="N4" s="80">
        <f>COUNTIF('Raw Data'!L2:L11,"Delayed")</f>
        <v>3</v>
      </c>
      <c r="O4" s="81"/>
      <c r="P4" s="82"/>
      <c r="R4" s="22" t="s">
        <v>55</v>
      </c>
      <c r="S4" s="22"/>
      <c r="T4" s="22"/>
      <c r="U4" s="22"/>
      <c r="V4" s="22"/>
    </row>
    <row r="5" spans="2:22" x14ac:dyDescent="0.3">
      <c r="B5" s="56"/>
      <c r="C5" s="57"/>
      <c r="D5" s="58"/>
      <c r="F5" s="65"/>
      <c r="G5" s="66"/>
      <c r="H5" s="67"/>
      <c r="J5" s="74"/>
      <c r="K5" s="75"/>
      <c r="L5" s="76"/>
      <c r="N5" s="83"/>
      <c r="O5" s="84"/>
      <c r="P5" s="85"/>
      <c r="R5" s="23" t="s">
        <v>56</v>
      </c>
      <c r="S5" s="24"/>
      <c r="T5" s="24"/>
      <c r="U5" s="24"/>
      <c r="V5" s="25"/>
    </row>
    <row r="6" spans="2:22" x14ac:dyDescent="0.3">
      <c r="B6" s="59"/>
      <c r="C6" s="60"/>
      <c r="D6" s="61"/>
      <c r="F6" s="68"/>
      <c r="G6" s="69"/>
      <c r="H6" s="70"/>
      <c r="J6" s="77"/>
      <c r="K6" s="78"/>
      <c r="L6" s="79"/>
      <c r="N6" s="86"/>
      <c r="O6" s="87"/>
      <c r="P6" s="88"/>
      <c r="R6" s="26"/>
      <c r="S6" s="27"/>
      <c r="T6" s="27"/>
      <c r="U6" s="27"/>
      <c r="V6" s="28"/>
    </row>
    <row r="7" spans="2:22" x14ac:dyDescent="0.3">
      <c r="R7" s="26"/>
      <c r="S7" s="27"/>
      <c r="T7" s="27"/>
      <c r="U7" s="27"/>
      <c r="V7" s="28"/>
    </row>
    <row r="8" spans="2:22" x14ac:dyDescent="0.3">
      <c r="R8" s="26"/>
      <c r="S8" s="27"/>
      <c r="T8" s="27"/>
      <c r="U8" s="27"/>
      <c r="V8" s="28"/>
    </row>
    <row r="9" spans="2:22" x14ac:dyDescent="0.3">
      <c r="R9" s="26"/>
      <c r="S9" s="27"/>
      <c r="T9" s="27"/>
      <c r="U9" s="27"/>
      <c r="V9" s="28"/>
    </row>
    <row r="10" spans="2:22" x14ac:dyDescent="0.3">
      <c r="R10" s="29"/>
      <c r="S10" s="30"/>
      <c r="T10" s="30"/>
      <c r="U10" s="30"/>
      <c r="V10" s="31"/>
    </row>
    <row r="12" spans="2:22" ht="15.6" x14ac:dyDescent="0.3">
      <c r="R12" s="32" t="s">
        <v>57</v>
      </c>
      <c r="S12" s="32"/>
      <c r="T12" s="32"/>
      <c r="U12" s="32"/>
      <c r="V12" s="32"/>
    </row>
    <row r="13" spans="2:22" x14ac:dyDescent="0.3">
      <c r="R13" s="33" t="s">
        <v>58</v>
      </c>
      <c r="S13" s="34"/>
      <c r="T13" s="34"/>
      <c r="U13" s="34"/>
      <c r="V13" s="35"/>
    </row>
    <row r="14" spans="2:22" x14ac:dyDescent="0.3">
      <c r="R14" s="36"/>
      <c r="S14" s="37"/>
      <c r="T14" s="37"/>
      <c r="U14" s="37"/>
      <c r="V14" s="38"/>
    </row>
    <row r="15" spans="2:22" x14ac:dyDescent="0.3">
      <c r="R15" s="36"/>
      <c r="S15" s="37"/>
      <c r="T15" s="37"/>
      <c r="U15" s="37"/>
      <c r="V15" s="38"/>
    </row>
    <row r="16" spans="2:22" x14ac:dyDescent="0.3">
      <c r="R16" s="36"/>
      <c r="S16" s="37"/>
      <c r="T16" s="37"/>
      <c r="U16" s="37"/>
      <c r="V16" s="38"/>
    </row>
    <row r="17" spans="18:22" x14ac:dyDescent="0.3">
      <c r="R17" s="36"/>
      <c r="S17" s="37"/>
      <c r="T17" s="37"/>
      <c r="U17" s="37"/>
      <c r="V17" s="38"/>
    </row>
    <row r="18" spans="18:22" x14ac:dyDescent="0.3">
      <c r="R18" s="39"/>
      <c r="S18" s="40"/>
      <c r="T18" s="40"/>
      <c r="U18" s="40"/>
      <c r="V18" s="41"/>
    </row>
    <row r="22" spans="18:22" x14ac:dyDescent="0.3">
      <c r="R22" s="42" t="s">
        <v>59</v>
      </c>
      <c r="S22" s="43"/>
      <c r="T22" s="43"/>
      <c r="U22" s="43"/>
      <c r="V22" s="44"/>
    </row>
    <row r="23" spans="18:22" x14ac:dyDescent="0.3">
      <c r="R23" s="45"/>
      <c r="S23" s="46"/>
      <c r="T23" s="46"/>
      <c r="U23" s="46"/>
      <c r="V23" s="47"/>
    </row>
    <row r="24" spans="18:22" x14ac:dyDescent="0.3">
      <c r="R24" s="48"/>
      <c r="S24" s="49"/>
      <c r="T24" s="49"/>
      <c r="U24" s="49"/>
      <c r="V24" s="50"/>
    </row>
  </sheetData>
  <mergeCells count="15">
    <mergeCell ref="B1:N1"/>
    <mergeCell ref="B2:N2"/>
    <mergeCell ref="B4:D6"/>
    <mergeCell ref="F4:H6"/>
    <mergeCell ref="J4:L6"/>
    <mergeCell ref="N4:P6"/>
    <mergeCell ref="B3:D3"/>
    <mergeCell ref="F3:H3"/>
    <mergeCell ref="J3:L3"/>
    <mergeCell ref="N3:P3"/>
    <mergeCell ref="R4:V4"/>
    <mergeCell ref="R5:V10"/>
    <mergeCell ref="R12:V12"/>
    <mergeCell ref="R13:V18"/>
    <mergeCell ref="R22:V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Parsad</dc:creator>
  <cp:lastModifiedBy>DELL</cp:lastModifiedBy>
  <dcterms:modified xsi:type="dcterms:W3CDTF">2026-04-21T03:53:06Z</dcterms:modified>
</cp:coreProperties>
</file>