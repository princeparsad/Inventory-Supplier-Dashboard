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DELL\OneDrive\Desktop\India Job\Projects\"/>
    </mc:Choice>
  </mc:AlternateContent>
  <xr:revisionPtr revIDLastSave="0" documentId="13_ncr:1_{A15B1EA4-B433-47D7-B267-DED7CE9A7DC1}" xr6:coauthVersionLast="36" xr6:coauthVersionMax="36" xr10:uidLastSave="{00000000-0000-0000-0000-000000000000}"/>
  <bookViews>
    <workbookView xWindow="0" yWindow="0" windowWidth="23040" windowHeight="8484" activeTab="1" xr2:uid="{00000000-000D-0000-FFFF-FFFF00000000}"/>
  </bookViews>
  <sheets>
    <sheet name="Raw Data" sheetId="1" r:id="rId1"/>
    <sheet name="Analysis" sheetId="5" r:id="rId2"/>
    <sheet name="Dashboard" sheetId="4" r:id="rId3"/>
  </sheets>
  <calcPr calcId="191029"/>
  <pivotCaches>
    <pivotCache cacheId="19" r:id="rId4"/>
  </pivotCaches>
</workbook>
</file>

<file path=xl/calcChain.xml><?xml version="1.0" encoding="utf-8"?>
<calcChain xmlns="http://schemas.openxmlformats.org/spreadsheetml/2006/main">
  <c r="D2" i="4" l="1"/>
  <c r="L4" i="1"/>
  <c r="M3" i="1" l="1"/>
  <c r="M4" i="1"/>
  <c r="M5" i="1"/>
  <c r="M6" i="1"/>
  <c r="M7" i="1"/>
  <c r="M8" i="1"/>
  <c r="M9" i="1"/>
  <c r="M10" i="1"/>
  <c r="M11" i="1"/>
  <c r="M2" i="1"/>
  <c r="L3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<sst xmlns="http://schemas.openxmlformats.org/spreadsheetml/2006/main" count="101" uniqueCount="51">
  <si>
    <t>Date</t>
  </si>
  <si>
    <t>Product</t>
  </si>
  <si>
    <t>Supplier</t>
  </si>
  <si>
    <t>Category</t>
  </si>
  <si>
    <t>Units Ordered</t>
  </si>
  <si>
    <t>Units Received</t>
  </si>
  <si>
    <t>Unit Cost</t>
  </si>
  <si>
    <t>Delivery Days</t>
  </si>
  <si>
    <t>Defect %</t>
  </si>
  <si>
    <t>Region</t>
  </si>
  <si>
    <t>01-01-2026</t>
  </si>
  <si>
    <t>Packaging A</t>
  </si>
  <si>
    <t>Supplier X</t>
  </si>
  <si>
    <t>Packaging</t>
  </si>
  <si>
    <t>North</t>
  </si>
  <si>
    <t>02-01-2026</t>
  </si>
  <si>
    <t>Raw Makhana</t>
  </si>
  <si>
    <t>Supplier Y</t>
  </si>
  <si>
    <t>Raw Material</t>
  </si>
  <si>
    <t>East</t>
  </si>
  <si>
    <t>03-01-2026</t>
  </si>
  <si>
    <t>Packaging B</t>
  </si>
  <si>
    <t>Supplier Z</t>
  </si>
  <si>
    <t>West</t>
  </si>
  <si>
    <t>04-01-2026</t>
  </si>
  <si>
    <t>Spices Mix</t>
  </si>
  <si>
    <t>05-01-2026</t>
  </si>
  <si>
    <t>South</t>
  </si>
  <si>
    <t>06-01-2026</t>
  </si>
  <si>
    <t>07-01-2026</t>
  </si>
  <si>
    <t>08-01-2026</t>
  </si>
  <si>
    <t>09-01-2026</t>
  </si>
  <si>
    <t>10-01-2026</t>
  </si>
  <si>
    <t xml:space="preserve">Total Cost </t>
  </si>
  <si>
    <t>Delay Flag</t>
  </si>
  <si>
    <t>Quality Status</t>
  </si>
  <si>
    <t>Grand Total</t>
  </si>
  <si>
    <t>Sum of Units Received</t>
  </si>
  <si>
    <t>Delayed</t>
  </si>
  <si>
    <t>On Time</t>
  </si>
  <si>
    <t>Supplier Performance</t>
  </si>
  <si>
    <t>Total Spend</t>
  </si>
  <si>
    <t>Average Delivery Days</t>
  </si>
  <si>
    <t>Average Defect RAte</t>
  </si>
  <si>
    <t>Category Spend</t>
  </si>
  <si>
    <t>Delay Analysis</t>
  </si>
  <si>
    <t>Units Analysis</t>
  </si>
  <si>
    <t>Avg Delivery Days</t>
  </si>
  <si>
    <t>Total Units Received</t>
  </si>
  <si>
    <t>Delayed Orders</t>
  </si>
  <si>
    <t>Sum of delay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</si>
</sst>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2.743810879627" createdVersion="6" refreshedVersion="6" minRefreshableVersion="3" recordCount="10" xr:uid="{C36254F2-E21C-47BC-822F-13C9A9207378}">
  <cacheSource type="worksheet">
    <worksheetSource name="Table1"/>
  </cacheSource>
  <cacheFields count="13">
    <cacheField name="Date" numFmtId="0">
      <sharedItems/>
    </cacheField>
    <cacheField name="Product" numFmtId="0">
      <sharedItems count="4">
        <s v="Packaging A"/>
        <s v="Raw Makhana"/>
        <s v="Packaging B"/>
        <s v="Spices Mix"/>
      </sharedItems>
    </cacheField>
    <cacheField name="Supplier" numFmtId="0">
      <sharedItems count="3">
        <s v="Supplier X"/>
        <s v="Supplier Y"/>
        <s v="Supplier Z"/>
      </sharedItems>
    </cacheField>
    <cacheField name="Category" numFmtId="0">
      <sharedItems count="2">
        <s v="Packaging"/>
        <s v="Raw Material"/>
      </sharedItems>
    </cacheField>
    <cacheField name="Units Ordered" numFmtId="0">
      <sharedItems containsSemiMixedTypes="0" containsString="0" containsNumber="1" containsInteger="1" minValue="200" maxValue="600"/>
    </cacheField>
    <cacheField name="Units Received" numFmtId="0">
      <sharedItems containsSemiMixedTypes="0" containsString="0" containsNumber="1" containsInteger="1" minValue="195" maxValue="590"/>
    </cacheField>
    <cacheField name="Unit Cost" numFmtId="0">
      <sharedItems containsSemiMixedTypes="0" containsString="0" containsNumber="1" minValue="2.4" maxValue="5.2"/>
    </cacheField>
    <cacheField name="Delivery Days" numFmtId="0">
      <sharedItems containsSemiMixedTypes="0" containsString="0" containsNumber="1" containsInteger="1" minValue="3" maxValue="7"/>
    </cacheField>
    <cacheField name="Defect %" numFmtId="0">
      <sharedItems containsSemiMixedTypes="0" containsString="0" containsNumber="1" containsInteger="1" minValue="1" maxValue="4"/>
    </cacheField>
    <cacheField name="Region" numFmtId="0">
      <sharedItems/>
    </cacheField>
    <cacheField name="Total Cost " numFmtId="0">
      <sharedItems containsSemiMixedTypes="0" containsString="0" containsNumber="1" minValue="780" maxValue="1768"/>
    </cacheField>
    <cacheField name="Delay Flag" numFmtId="0">
      <sharedItems count="2">
        <s v="On Time"/>
        <s v="Delayed"/>
      </sharedItems>
    </cacheField>
    <cacheField name="Qualit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01-01-2026"/>
    <x v="0"/>
    <x v="0"/>
    <x v="0"/>
    <n v="500"/>
    <n v="480"/>
    <n v="2.5"/>
    <n v="5"/>
    <n v="2"/>
    <s v="North"/>
    <n v="1200"/>
    <x v="0"/>
    <s v="Good"/>
  </r>
  <r>
    <s v="02-01-2026"/>
    <x v="1"/>
    <x v="1"/>
    <x v="1"/>
    <n v="300"/>
    <n v="300"/>
    <n v="5"/>
    <n v="3"/>
    <n v="1"/>
    <s v="East"/>
    <n v="1500"/>
    <x v="0"/>
    <s v="Good"/>
  </r>
  <r>
    <s v="03-01-2026"/>
    <x v="2"/>
    <x v="2"/>
    <x v="0"/>
    <n v="400"/>
    <n v="390"/>
    <n v="2.8"/>
    <n v="6"/>
    <n v="3"/>
    <s v="West"/>
    <n v="1092"/>
    <x v="1"/>
    <s v="Poor"/>
  </r>
  <r>
    <s v="04-01-2026"/>
    <x v="3"/>
    <x v="0"/>
    <x v="1"/>
    <n v="200"/>
    <n v="195"/>
    <n v="4"/>
    <n v="4"/>
    <n v="2"/>
    <s v="North"/>
    <n v="780"/>
    <x v="0"/>
    <s v="Good"/>
  </r>
  <r>
    <s v="05-01-2026"/>
    <x v="0"/>
    <x v="1"/>
    <x v="0"/>
    <n v="600"/>
    <n v="590"/>
    <n v="2.4"/>
    <n v="5"/>
    <n v="1"/>
    <s v="South"/>
    <n v="1416"/>
    <x v="0"/>
    <s v="Good"/>
  </r>
  <r>
    <s v="06-01-2026"/>
    <x v="1"/>
    <x v="2"/>
    <x v="1"/>
    <n v="350"/>
    <n v="340"/>
    <n v="5.2"/>
    <n v="7"/>
    <n v="4"/>
    <s v="East"/>
    <n v="1768"/>
    <x v="1"/>
    <s v="Poor"/>
  </r>
  <r>
    <s v="07-01-2026"/>
    <x v="2"/>
    <x v="0"/>
    <x v="0"/>
    <n v="450"/>
    <n v="445"/>
    <n v="2.7"/>
    <n v="3"/>
    <n v="1"/>
    <s v="West"/>
    <n v="1201.5"/>
    <x v="0"/>
    <s v="Good"/>
  </r>
  <r>
    <s v="08-01-2026"/>
    <x v="3"/>
    <x v="1"/>
    <x v="1"/>
    <n v="250"/>
    <n v="240"/>
    <n v="4.0999999999999996"/>
    <n v="6"/>
    <n v="3"/>
    <s v="South"/>
    <n v="983.99999999999989"/>
    <x v="1"/>
    <s v="Poor"/>
  </r>
  <r>
    <s v="09-01-2026"/>
    <x v="0"/>
    <x v="2"/>
    <x v="0"/>
    <n v="550"/>
    <n v="530"/>
    <n v="2.6"/>
    <n v="5"/>
    <n v="2"/>
    <s v="North"/>
    <n v="1378"/>
    <x v="0"/>
    <s v="Good"/>
  </r>
  <r>
    <s v="10-01-2026"/>
    <x v="1"/>
    <x v="0"/>
    <x v="1"/>
    <n v="300"/>
    <n v="295"/>
    <n v="5.0999999999999996"/>
    <n v="4"/>
    <n v="1"/>
    <s v="East"/>
    <n v="1504.5"/>
    <x v="0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0A32D-FE8F-483A-B149-621EDC24AA75}" name="PivotTable5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G16:H21" firstHeaderRow="1" firstDataRow="1" firstDataCol="1"/>
  <pivotFields count="13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Received" fld="5" baseField="0" baseItem="0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34DEA-41DD-4F59-8F76-C2E270442464}" name="PivotTable4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B16:E21" firstHeaderRow="1" firstDataRow="2" firstDataCol="1"/>
  <pivotFields count="13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delay orders" fld="4" baseField="0" baseItem="0"/>
  </dataFields>
  <formats count="1">
    <format dxfId="10">
      <pivotArea outline="0" collapsedLevelsAreSubtotals="1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5D0EF-0021-4A1A-A6F7-6FBC95230A31}" name="PivotTable3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G5:H8" firstHeaderRow="1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tal Spend" fld="10" baseField="0" baseItem="0"/>
  </dataFields>
  <formats count="2">
    <format dxfId="24">
      <pivotArea outline="0" fieldPosition="0">
        <references count="1">
          <reference field="3" count="0" selected="0"/>
        </references>
      </pivotArea>
    </format>
    <format dxfId="23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18E74-0769-4BE2-A1B1-8F6B8952E1AB}" name="PivotTable2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B5:E9" firstHeaderRow="0" firstDataRow="1" firstDataCol="1"/>
  <pivotFields count="13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pend" fld="10" baseField="2" baseItem="0"/>
    <dataField name="Average Delivery Days" fld="7" subtotal="average" baseField="2" baseItem="0"/>
    <dataField name="Average Defect RAte" fld="8" subtotal="average" baseField="2" baseItem="0"/>
  </dataFields>
  <formats count="2">
    <format dxfId="26">
      <pivotArea collapsedLevelsAreSubtotals="1" fieldPosition="0">
        <references count="1">
          <reference field="2" count="0"/>
        </references>
      </pivotArea>
    </format>
    <format dxfId="25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D618A-2A11-4468-8302-78F0732C1FDD}" name="Table1" displayName="Table1" ref="A1:M11" totalsRowShown="0" headerRowDxfId="21" dataDxfId="20">
  <autoFilter ref="A1:M11" xr:uid="{32B458F8-798D-4310-8B7F-37978DAB9517}"/>
  <tableColumns count="13">
    <tableColumn id="1" xr3:uid="{BE58605C-E9A3-4CA5-82C2-CF8F238BA8C6}" name="Date"/>
    <tableColumn id="2" xr3:uid="{E20FD4EE-DAE0-48CB-9E10-B5FD76652835}" name="Product"/>
    <tableColumn id="3" xr3:uid="{1AC23F82-754C-4A73-B8F9-15D3F92EDA9C}" name="Supplier"/>
    <tableColumn id="4" xr3:uid="{BD958F8E-FCD0-4CD0-B058-F98E2F736EB9}" name="Category"/>
    <tableColumn id="5" xr3:uid="{969C9C58-AD44-4F6D-9430-D76F845DADF4}" name="Units Ordered" dataDxfId="19"/>
    <tableColumn id="6" xr3:uid="{1543C65F-32BD-4562-AD03-A6ABDABEED80}" name="Units Received" dataDxfId="18"/>
    <tableColumn id="7" xr3:uid="{5ACE25BA-A7AC-4071-BC47-13C1C68D3201}" name="Unit Cost" dataDxfId="17"/>
    <tableColumn id="8" xr3:uid="{676DE703-C961-43A9-BDFC-4F2E445C79E9}" name="Delivery Days" dataDxfId="16"/>
    <tableColumn id="9" xr3:uid="{DC9E1328-CCEC-4BE9-9450-EAF6EA84FD0B}" name="Defect %" dataDxfId="15"/>
    <tableColumn id="10" xr3:uid="{8C2141D4-C62B-4294-B13D-7EF67E62776E}" name="Region" dataDxfId="14"/>
    <tableColumn id="11" xr3:uid="{249C14AF-D93A-4F25-A159-B06961CC6717}" name="Total Cost " dataDxfId="13">
      <calculatedColumnFormula>F2*G2</calculatedColumnFormula>
    </tableColumn>
    <tableColumn id="12" xr3:uid="{09D4EFBF-F411-4495-A8AF-AE9749AF89DD}" name="Delay Flag" dataDxfId="12">
      <calculatedColumnFormula>IF(H1:H11&gt;5,"Delayed","On Time")</calculatedColumnFormula>
    </tableColumn>
    <tableColumn id="13" xr3:uid="{5C23BA55-C0E9-42EB-9E4C-F733F989A300}" name="Quality Status" dataDxfId="11">
      <calculatedColumnFormula>IF(I1:I11&gt;2,"Poor","Good")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F20" sqref="F20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9.77734375" customWidth="1"/>
    <col min="4" max="4" width="11.88671875" bestFit="1" customWidth="1"/>
    <col min="5" max="5" width="14.5546875" customWidth="1"/>
    <col min="6" max="6" width="15.21875" customWidth="1"/>
    <col min="7" max="7" width="10.5546875" customWidth="1"/>
    <col min="8" max="8" width="14.109375" customWidth="1"/>
    <col min="9" max="9" width="10.21875" customWidth="1"/>
    <col min="11" max="11" width="11.6640625" customWidth="1"/>
    <col min="12" max="12" width="11.33203125" customWidth="1"/>
    <col min="13" max="13" width="14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33</v>
      </c>
      <c r="L1" s="5" t="s">
        <v>34</v>
      </c>
      <c r="M1" s="5" t="s">
        <v>35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s="2">
        <v>500</v>
      </c>
      <c r="F2" s="2">
        <v>480</v>
      </c>
      <c r="G2" s="2">
        <v>2.5</v>
      </c>
      <c r="H2" s="2">
        <v>5</v>
      </c>
      <c r="I2" s="2">
        <v>2</v>
      </c>
      <c r="J2" s="2" t="s">
        <v>14</v>
      </c>
      <c r="K2" s="2">
        <f>F2*G2</f>
        <v>1200</v>
      </c>
      <c r="L2" s="2" t="str">
        <f>IF(H1:H11&gt;5,"Delayed","On Time")</f>
        <v>On Time</v>
      </c>
      <c r="M2" s="2" t="str">
        <f>IF(I1:I11&gt;2,"Poor","Good")</f>
        <v>Good</v>
      </c>
    </row>
    <row r="3" spans="1:13" x14ac:dyDescent="0.3">
      <c r="A3" t="s">
        <v>15</v>
      </c>
      <c r="B3" t="s">
        <v>16</v>
      </c>
      <c r="C3" t="s">
        <v>17</v>
      </c>
      <c r="D3" t="s">
        <v>18</v>
      </c>
      <c r="E3" s="2">
        <v>300</v>
      </c>
      <c r="F3" s="2">
        <v>300</v>
      </c>
      <c r="G3" s="2">
        <v>5</v>
      </c>
      <c r="H3" s="2">
        <v>3</v>
      </c>
      <c r="I3" s="2">
        <v>1</v>
      </c>
      <c r="J3" s="2" t="s">
        <v>19</v>
      </c>
      <c r="K3" s="2">
        <f>F3*G3</f>
        <v>1500</v>
      </c>
      <c r="L3" s="2" t="str">
        <f>IF(H2:H12&gt;5,"Delayed","On Time")</f>
        <v>On Time</v>
      </c>
      <c r="M3" s="2" t="str">
        <f>IF(I2:I12&gt;2,"Poor","Good")</f>
        <v>Good</v>
      </c>
    </row>
    <row r="4" spans="1:13" x14ac:dyDescent="0.3">
      <c r="A4" t="s">
        <v>20</v>
      </c>
      <c r="B4" t="s">
        <v>21</v>
      </c>
      <c r="C4" t="s">
        <v>22</v>
      </c>
      <c r="D4" t="s">
        <v>13</v>
      </c>
      <c r="E4" s="2">
        <v>400</v>
      </c>
      <c r="F4" s="2">
        <v>390</v>
      </c>
      <c r="G4" s="2">
        <v>2.8</v>
      </c>
      <c r="H4" s="2">
        <v>6</v>
      </c>
      <c r="I4" s="2">
        <v>3</v>
      </c>
      <c r="J4" s="2" t="s">
        <v>23</v>
      </c>
      <c r="K4" s="2">
        <f>F4*G4</f>
        <v>1092</v>
      </c>
      <c r="L4" s="2" t="str">
        <f>IF(H3:H13&gt;5,"Delayed","On Time")</f>
        <v>Delayed</v>
      </c>
      <c r="M4" s="2" t="str">
        <f>IF(I3:I13&gt;2,"Poor","Good")</f>
        <v>Poor</v>
      </c>
    </row>
    <row r="5" spans="1:13" x14ac:dyDescent="0.3">
      <c r="A5" t="s">
        <v>24</v>
      </c>
      <c r="B5" t="s">
        <v>25</v>
      </c>
      <c r="C5" t="s">
        <v>12</v>
      </c>
      <c r="D5" t="s">
        <v>18</v>
      </c>
      <c r="E5" s="2">
        <v>200</v>
      </c>
      <c r="F5" s="2">
        <v>195</v>
      </c>
      <c r="G5" s="2">
        <v>4</v>
      </c>
      <c r="H5" s="2">
        <v>4</v>
      </c>
      <c r="I5" s="2">
        <v>2</v>
      </c>
      <c r="J5" s="2" t="s">
        <v>14</v>
      </c>
      <c r="K5" s="2">
        <f>F5*G5</f>
        <v>780</v>
      </c>
      <c r="L5" s="2" t="str">
        <f>IF(H4:H14&gt;5,"Delayed","On Time")</f>
        <v>On Time</v>
      </c>
      <c r="M5" s="2" t="str">
        <f>IF(I4:I14&gt;2,"Poor","Good")</f>
        <v>Good</v>
      </c>
    </row>
    <row r="6" spans="1:13" x14ac:dyDescent="0.3">
      <c r="A6" t="s">
        <v>26</v>
      </c>
      <c r="B6" t="s">
        <v>11</v>
      </c>
      <c r="C6" t="s">
        <v>17</v>
      </c>
      <c r="D6" t="s">
        <v>13</v>
      </c>
      <c r="E6" s="2">
        <v>600</v>
      </c>
      <c r="F6" s="2">
        <v>590</v>
      </c>
      <c r="G6" s="2">
        <v>2.4</v>
      </c>
      <c r="H6" s="2">
        <v>5</v>
      </c>
      <c r="I6" s="2">
        <v>1</v>
      </c>
      <c r="J6" s="2" t="s">
        <v>27</v>
      </c>
      <c r="K6" s="2">
        <f>F6*G6</f>
        <v>1416</v>
      </c>
      <c r="L6" s="2" t="str">
        <f>IF(H5:H15&gt;5,"Delayed","On Time")</f>
        <v>On Time</v>
      </c>
      <c r="M6" s="2" t="str">
        <f>IF(I5:I15&gt;2,"Poor","Good")</f>
        <v>Good</v>
      </c>
    </row>
    <row r="7" spans="1:13" x14ac:dyDescent="0.3">
      <c r="A7" t="s">
        <v>28</v>
      </c>
      <c r="B7" t="s">
        <v>16</v>
      </c>
      <c r="C7" t="s">
        <v>22</v>
      </c>
      <c r="D7" t="s">
        <v>18</v>
      </c>
      <c r="E7" s="2">
        <v>350</v>
      </c>
      <c r="F7" s="2">
        <v>340</v>
      </c>
      <c r="G7" s="2">
        <v>5.2</v>
      </c>
      <c r="H7" s="2">
        <v>7</v>
      </c>
      <c r="I7" s="2">
        <v>4</v>
      </c>
      <c r="J7" s="2" t="s">
        <v>19</v>
      </c>
      <c r="K7" s="2">
        <f>F7*G7</f>
        <v>1768</v>
      </c>
      <c r="L7" s="2" t="str">
        <f>IF(H6:H16&gt;5,"Delayed","On Time")</f>
        <v>Delayed</v>
      </c>
      <c r="M7" s="2" t="str">
        <f>IF(I6:I16&gt;2,"Poor","Good")</f>
        <v>Poor</v>
      </c>
    </row>
    <row r="8" spans="1:13" x14ac:dyDescent="0.3">
      <c r="A8" t="s">
        <v>29</v>
      </c>
      <c r="B8" t="s">
        <v>21</v>
      </c>
      <c r="C8" t="s">
        <v>12</v>
      </c>
      <c r="D8" t="s">
        <v>13</v>
      </c>
      <c r="E8" s="2">
        <v>450</v>
      </c>
      <c r="F8" s="2">
        <v>445</v>
      </c>
      <c r="G8" s="2">
        <v>2.7</v>
      </c>
      <c r="H8" s="2">
        <v>3</v>
      </c>
      <c r="I8" s="2">
        <v>1</v>
      </c>
      <c r="J8" s="2" t="s">
        <v>23</v>
      </c>
      <c r="K8" s="2">
        <f>F8*G8</f>
        <v>1201.5</v>
      </c>
      <c r="L8" s="2" t="str">
        <f>IF(H7:H17&gt;5,"Delayed","On Time")</f>
        <v>On Time</v>
      </c>
      <c r="M8" s="2" t="str">
        <f>IF(I7:I17&gt;2,"Poor","Good")</f>
        <v>Good</v>
      </c>
    </row>
    <row r="9" spans="1:13" x14ac:dyDescent="0.3">
      <c r="A9" t="s">
        <v>30</v>
      </c>
      <c r="B9" t="s">
        <v>25</v>
      </c>
      <c r="C9" t="s">
        <v>17</v>
      </c>
      <c r="D9" t="s">
        <v>18</v>
      </c>
      <c r="E9" s="2">
        <v>250</v>
      </c>
      <c r="F9" s="2">
        <v>240</v>
      </c>
      <c r="G9" s="2">
        <v>4.0999999999999996</v>
      </c>
      <c r="H9" s="2">
        <v>6</v>
      </c>
      <c r="I9" s="2">
        <v>3</v>
      </c>
      <c r="J9" s="2" t="s">
        <v>27</v>
      </c>
      <c r="K9" s="2">
        <f>F9*G9</f>
        <v>983.99999999999989</v>
      </c>
      <c r="L9" s="2" t="str">
        <f>IF(H8:H18&gt;5,"Delayed","On Time")</f>
        <v>Delayed</v>
      </c>
      <c r="M9" s="2" t="str">
        <f>IF(I8:I18&gt;2,"Poor","Good")</f>
        <v>Poor</v>
      </c>
    </row>
    <row r="10" spans="1:13" x14ac:dyDescent="0.3">
      <c r="A10" t="s">
        <v>31</v>
      </c>
      <c r="B10" t="s">
        <v>11</v>
      </c>
      <c r="C10" t="s">
        <v>22</v>
      </c>
      <c r="D10" t="s">
        <v>13</v>
      </c>
      <c r="E10" s="2">
        <v>550</v>
      </c>
      <c r="F10" s="2">
        <v>530</v>
      </c>
      <c r="G10" s="2">
        <v>2.6</v>
      </c>
      <c r="H10" s="2">
        <v>5</v>
      </c>
      <c r="I10" s="2">
        <v>2</v>
      </c>
      <c r="J10" s="2" t="s">
        <v>14</v>
      </c>
      <c r="K10" s="2">
        <f>F10*G10</f>
        <v>1378</v>
      </c>
      <c r="L10" s="2" t="str">
        <f>IF(H9:H19&gt;5,"Delayed","On Time")</f>
        <v>On Time</v>
      </c>
      <c r="M10" s="2" t="str">
        <f>IF(I9:I19&gt;2,"Poor","Good")</f>
        <v>Good</v>
      </c>
    </row>
    <row r="11" spans="1:13" x14ac:dyDescent="0.3">
      <c r="A11" t="s">
        <v>32</v>
      </c>
      <c r="B11" t="s">
        <v>16</v>
      </c>
      <c r="C11" t="s">
        <v>12</v>
      </c>
      <c r="D11" t="s">
        <v>18</v>
      </c>
      <c r="E11" s="2">
        <v>300</v>
      </c>
      <c r="F11" s="2">
        <v>295</v>
      </c>
      <c r="G11" s="2">
        <v>5.0999999999999996</v>
      </c>
      <c r="H11" s="2">
        <v>4</v>
      </c>
      <c r="I11" s="2">
        <v>1</v>
      </c>
      <c r="J11" s="2" t="s">
        <v>19</v>
      </c>
      <c r="K11" s="2">
        <f>F11*G11</f>
        <v>1504.5</v>
      </c>
      <c r="L11" s="2" t="str">
        <f>IF(H10:H20&gt;5,"Delayed","On Time")</f>
        <v>On Time</v>
      </c>
      <c r="M11" s="2" t="str">
        <f>IF(I10:I20&gt;2,"Poor","Good")</f>
        <v>Good</v>
      </c>
    </row>
  </sheetData>
  <pageMargins left="0.75" right="0.75" top="1" bottom="1" header="0.5" footer="0.5"/>
  <pageSetup orientation="portrait" r:id="rId1"/>
  <ignoredErrors>
    <ignoredError sqref="L4:M11" formulaRange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73E6-DF17-47A0-B656-EA5461690396}">
  <dimension ref="B4:H21"/>
  <sheetViews>
    <sheetView tabSelected="1" workbookViewId="0">
      <selection activeCell="K17" sqref="K17"/>
    </sheetView>
  </sheetViews>
  <sheetFormatPr defaultRowHeight="14.4" x14ac:dyDescent="0.3"/>
  <cols>
    <col min="1" max="2" width="10.77734375" bestFit="1" customWidth="1"/>
    <col min="3" max="3" width="11" bestFit="1" customWidth="1"/>
    <col min="4" max="4" width="19.77734375" bestFit="1" customWidth="1"/>
    <col min="5" max="5" width="18.44140625" bestFit="1" customWidth="1"/>
    <col min="6" max="6" width="11" bestFit="1" customWidth="1"/>
    <col min="7" max="7" width="11.88671875" bestFit="1" customWidth="1"/>
    <col min="8" max="9" width="20" bestFit="1" customWidth="1"/>
    <col min="10" max="10" width="11.6640625" bestFit="1" customWidth="1"/>
    <col min="11" max="11" width="10.77734375" bestFit="1" customWidth="1"/>
  </cols>
  <sheetData>
    <row r="4" spans="2:8" ht="21" x14ac:dyDescent="0.4">
      <c r="B4" s="7" t="s">
        <v>40</v>
      </c>
      <c r="C4" s="6"/>
      <c r="D4" s="6"/>
      <c r="E4" s="6"/>
      <c r="G4" s="7" t="s">
        <v>44</v>
      </c>
      <c r="H4" s="7"/>
    </row>
    <row r="5" spans="2:8" x14ac:dyDescent="0.3">
      <c r="B5" s="3" t="s">
        <v>2</v>
      </c>
      <c r="C5" t="s">
        <v>41</v>
      </c>
      <c r="D5" t="s">
        <v>42</v>
      </c>
      <c r="E5" t="s">
        <v>43</v>
      </c>
      <c r="G5" s="3" t="s">
        <v>3</v>
      </c>
      <c r="H5" t="s">
        <v>41</v>
      </c>
    </row>
    <row r="6" spans="2:8" x14ac:dyDescent="0.3">
      <c r="B6" t="s">
        <v>12</v>
      </c>
      <c r="C6" s="4">
        <v>4686</v>
      </c>
      <c r="D6" s="4">
        <v>4</v>
      </c>
      <c r="E6" s="4">
        <v>1.5</v>
      </c>
      <c r="G6" t="s">
        <v>13</v>
      </c>
      <c r="H6" s="4">
        <v>6287.5</v>
      </c>
    </row>
    <row r="7" spans="2:8" x14ac:dyDescent="0.3">
      <c r="B7" t="s">
        <v>17</v>
      </c>
      <c r="C7" s="4">
        <v>3900</v>
      </c>
      <c r="D7" s="4">
        <v>4.666666666666667</v>
      </c>
      <c r="E7" s="4">
        <v>1.6666666666666667</v>
      </c>
      <c r="G7" t="s">
        <v>18</v>
      </c>
      <c r="H7" s="4">
        <v>6536.5</v>
      </c>
    </row>
    <row r="8" spans="2:8" x14ac:dyDescent="0.3">
      <c r="B8" t="s">
        <v>22</v>
      </c>
      <c r="C8" s="4">
        <v>4238</v>
      </c>
      <c r="D8" s="4">
        <v>6</v>
      </c>
      <c r="E8" s="4">
        <v>3</v>
      </c>
      <c r="G8" t="s">
        <v>36</v>
      </c>
      <c r="H8" s="4">
        <v>12824</v>
      </c>
    </row>
    <row r="9" spans="2:8" x14ac:dyDescent="0.3">
      <c r="B9" t="s">
        <v>36</v>
      </c>
      <c r="C9" s="4">
        <v>12824</v>
      </c>
      <c r="D9" s="4">
        <v>4.8</v>
      </c>
      <c r="E9" s="4">
        <v>2</v>
      </c>
    </row>
    <row r="15" spans="2:8" ht="21" x14ac:dyDescent="0.4">
      <c r="B15" s="7" t="s">
        <v>45</v>
      </c>
      <c r="C15" s="7"/>
      <c r="D15" s="7"/>
      <c r="E15" s="7"/>
      <c r="G15" s="7" t="s">
        <v>46</v>
      </c>
      <c r="H15" s="7"/>
    </row>
    <row r="16" spans="2:8" x14ac:dyDescent="0.3">
      <c r="B16" s="3" t="s">
        <v>50</v>
      </c>
      <c r="C16" s="3" t="s">
        <v>34</v>
      </c>
      <c r="G16" s="3" t="s">
        <v>1</v>
      </c>
      <c r="H16" t="s">
        <v>37</v>
      </c>
    </row>
    <row r="17" spans="2:8" x14ac:dyDescent="0.3">
      <c r="B17" s="3" t="s">
        <v>2</v>
      </c>
      <c r="C17" t="s">
        <v>38</v>
      </c>
      <c r="D17" t="s">
        <v>39</v>
      </c>
      <c r="E17" t="s">
        <v>36</v>
      </c>
      <c r="G17" t="s">
        <v>11</v>
      </c>
      <c r="H17" s="4">
        <v>1600</v>
      </c>
    </row>
    <row r="18" spans="2:8" x14ac:dyDescent="0.3">
      <c r="B18" t="s">
        <v>12</v>
      </c>
      <c r="C18" s="4"/>
      <c r="D18" s="4">
        <v>1450</v>
      </c>
      <c r="E18" s="4">
        <v>1450</v>
      </c>
      <c r="G18" t="s">
        <v>21</v>
      </c>
      <c r="H18" s="4">
        <v>835</v>
      </c>
    </row>
    <row r="19" spans="2:8" x14ac:dyDescent="0.3">
      <c r="B19" t="s">
        <v>17</v>
      </c>
      <c r="C19" s="4">
        <v>250</v>
      </c>
      <c r="D19" s="4">
        <v>900</v>
      </c>
      <c r="E19" s="4">
        <v>1150</v>
      </c>
      <c r="G19" t="s">
        <v>16</v>
      </c>
      <c r="H19" s="4">
        <v>935</v>
      </c>
    </row>
    <row r="20" spans="2:8" x14ac:dyDescent="0.3">
      <c r="B20" t="s">
        <v>22</v>
      </c>
      <c r="C20" s="4">
        <v>750</v>
      </c>
      <c r="D20" s="4">
        <v>550</v>
      </c>
      <c r="E20" s="4">
        <v>1300</v>
      </c>
      <c r="G20" t="s">
        <v>25</v>
      </c>
      <c r="H20" s="4">
        <v>435</v>
      </c>
    </row>
    <row r="21" spans="2:8" x14ac:dyDescent="0.3">
      <c r="B21" t="s">
        <v>36</v>
      </c>
      <c r="C21" s="4">
        <v>1000</v>
      </c>
      <c r="D21" s="4">
        <v>2900</v>
      </c>
      <c r="E21" s="4">
        <v>3900</v>
      </c>
      <c r="G21" t="s">
        <v>36</v>
      </c>
      <c r="H21" s="4">
        <v>3805</v>
      </c>
    </row>
  </sheetData>
  <mergeCells count="4">
    <mergeCell ref="B4:E4"/>
    <mergeCell ref="G4:H4"/>
    <mergeCell ref="B15:E15"/>
    <mergeCell ref="G15:H15"/>
  </mergeCell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1041-42F6-4B2F-A434-877C412F777B}">
  <dimension ref="C2:D5"/>
  <sheetViews>
    <sheetView workbookViewId="0">
      <selection activeCell="L10" sqref="L10"/>
    </sheetView>
  </sheetViews>
  <sheetFormatPr defaultRowHeight="14.4" x14ac:dyDescent="0.3"/>
  <cols>
    <col min="3" max="3" width="20.21875" bestFit="1" customWidth="1"/>
  </cols>
  <sheetData>
    <row r="2" spans="3:4" ht="15.6" x14ac:dyDescent="0.3">
      <c r="C2" s="8" t="s">
        <v>41</v>
      </c>
      <c r="D2" s="9">
        <f>SUM(Analysis!C6:C8)</f>
        <v>12824</v>
      </c>
    </row>
    <row r="3" spans="3:4" ht="15.6" x14ac:dyDescent="0.3">
      <c r="C3" s="8" t="s">
        <v>47</v>
      </c>
      <c r="D3" s="10">
        <v>4.8</v>
      </c>
    </row>
    <row r="4" spans="3:4" ht="15.6" x14ac:dyDescent="0.3">
      <c r="C4" s="8" t="s">
        <v>48</v>
      </c>
      <c r="D4" s="11">
        <v>3805</v>
      </c>
    </row>
    <row r="5" spans="3:4" ht="15.6" x14ac:dyDescent="0.3">
      <c r="C5" s="8" t="s">
        <v>49</v>
      </c>
      <c r="D5" s="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2026-04-20T07:04:20Z</dcterms:created>
  <dcterms:modified xsi:type="dcterms:W3CDTF">2026-04-20T12:25:56Z</dcterms:modified>
</cp:coreProperties>
</file>